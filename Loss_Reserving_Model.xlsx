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3d3946034164ee/Desktop/Projects/Commercial_Auto_Loss_Reserving_Project/"/>
    </mc:Choice>
  </mc:AlternateContent>
  <xr:revisionPtr revIDLastSave="31" documentId="8_{8D57D2EA-7B93-4A26-B920-DD054CF5E6BE}" xr6:coauthVersionLast="47" xr6:coauthVersionMax="47" xr10:uidLastSave="{FDDD02B9-7289-4E9B-AC4A-8DDE590553D8}"/>
  <bookViews>
    <workbookView xWindow="-108" yWindow="-108" windowWidth="23256" windowHeight="12456" activeTab="4" xr2:uid="{00000000-000D-0000-FFFF-FFFF00000000}"/>
  </bookViews>
  <sheets>
    <sheet name="README" sheetId="1" r:id="rId1"/>
    <sheet name="Triangle_Data" sheetId="2" r:id="rId2"/>
    <sheet name="Chain_Ladder" sheetId="3" r:id="rId3"/>
    <sheet name="Bornhuetter_Ferguson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J13" i="3"/>
  <c r="D17" i="5"/>
  <c r="A11" i="5"/>
  <c r="A10" i="5"/>
  <c r="B9" i="5"/>
  <c r="A7" i="5"/>
  <c r="A5" i="5"/>
  <c r="B17" i="4"/>
  <c r="C16" i="4"/>
  <c r="D16" i="4" s="1"/>
  <c r="B16" i="4"/>
  <c r="A16" i="4"/>
  <c r="C15" i="4"/>
  <c r="B15" i="4"/>
  <c r="D15" i="4" s="1"/>
  <c r="A15" i="4"/>
  <c r="C14" i="4"/>
  <c r="B14" i="4"/>
  <c r="D14" i="4" s="1"/>
  <c r="A14" i="4"/>
  <c r="C13" i="4"/>
  <c r="B13" i="4"/>
  <c r="D13" i="4" s="1"/>
  <c r="A13" i="4"/>
  <c r="H12" i="4"/>
  <c r="C12" i="4"/>
  <c r="D12" i="4" s="1"/>
  <c r="B12" i="4"/>
  <c r="A12" i="4"/>
  <c r="C11" i="4"/>
  <c r="B11" i="4"/>
  <c r="D11" i="4" s="1"/>
  <c r="A11" i="4"/>
  <c r="C10" i="4"/>
  <c r="B10" i="4"/>
  <c r="D10" i="4" s="1"/>
  <c r="A10" i="4"/>
  <c r="C9" i="4"/>
  <c r="B9" i="4"/>
  <c r="D9" i="4" s="1"/>
  <c r="G9" i="4" s="1"/>
  <c r="A9" i="4"/>
  <c r="C8" i="4"/>
  <c r="D8" i="4" s="1"/>
  <c r="B8" i="4"/>
  <c r="A8" i="4"/>
  <c r="H7" i="4"/>
  <c r="C7" i="4"/>
  <c r="B7" i="4"/>
  <c r="D7" i="4" s="1"/>
  <c r="A7" i="4"/>
  <c r="C27" i="3"/>
  <c r="B27" i="3"/>
  <c r="H16" i="4" s="1"/>
  <c r="A27" i="3"/>
  <c r="A14" i="5" s="1"/>
  <c r="C26" i="3"/>
  <c r="B26" i="3"/>
  <c r="B13" i="5" s="1"/>
  <c r="A26" i="3"/>
  <c r="A13" i="5" s="1"/>
  <c r="C25" i="3"/>
  <c r="B25" i="3"/>
  <c r="B12" i="5" s="1"/>
  <c r="A25" i="3"/>
  <c r="A12" i="5" s="1"/>
  <c r="C24" i="3"/>
  <c r="B24" i="3"/>
  <c r="H13" i="4" s="1"/>
  <c r="A24" i="3"/>
  <c r="C23" i="3"/>
  <c r="B23" i="3"/>
  <c r="A23" i="3"/>
  <c r="C22" i="3"/>
  <c r="B22" i="3"/>
  <c r="A22" i="3"/>
  <c r="A9" i="5" s="1"/>
  <c r="C21" i="3"/>
  <c r="D21" i="3" s="1"/>
  <c r="E10" i="4" s="1"/>
  <c r="F10" i="4" s="1"/>
  <c r="B21" i="3"/>
  <c r="A21" i="3"/>
  <c r="A8" i="5" s="1"/>
  <c r="C20" i="3"/>
  <c r="B20" i="3"/>
  <c r="E20" i="3" s="1"/>
  <c r="A20" i="3"/>
  <c r="C19" i="3"/>
  <c r="D19" i="3" s="1"/>
  <c r="E8" i="4" s="1"/>
  <c r="F8" i="4" s="1"/>
  <c r="B19" i="3"/>
  <c r="B6" i="5" s="1"/>
  <c r="A19" i="3"/>
  <c r="A6" i="5" s="1"/>
  <c r="D18" i="3"/>
  <c r="E18" i="3" s="1"/>
  <c r="C18" i="3"/>
  <c r="B18" i="3"/>
  <c r="B28" i="3" s="1"/>
  <c r="A18" i="3"/>
  <c r="K13" i="3"/>
  <c r="J7" i="3"/>
  <c r="I7" i="3"/>
  <c r="D20" i="3" s="1"/>
  <c r="E9" i="4" s="1"/>
  <c r="F9" i="4" s="1"/>
  <c r="H7" i="3"/>
  <c r="H13" i="3" s="1"/>
  <c r="J6" i="3"/>
  <c r="I6" i="3"/>
  <c r="H6" i="3"/>
  <c r="G6" i="3"/>
  <c r="G7" i="3" s="1"/>
  <c r="G13" i="3" s="1"/>
  <c r="D22" i="3" s="1"/>
  <c r="E11" i="4" s="1"/>
  <c r="F11" i="4" s="1"/>
  <c r="F6" i="3"/>
  <c r="F7" i="3" s="1"/>
  <c r="F13" i="3" s="1"/>
  <c r="D23" i="3" s="1"/>
  <c r="E12" i="4" s="1"/>
  <c r="F12" i="4" s="1"/>
  <c r="E6" i="3"/>
  <c r="E7" i="3" s="1"/>
  <c r="E13" i="3" s="1"/>
  <c r="D6" i="3"/>
  <c r="D7" i="3" s="1"/>
  <c r="C6" i="3"/>
  <c r="C7" i="3" s="1"/>
  <c r="B6" i="3"/>
  <c r="B7" i="3" s="1"/>
  <c r="G11" i="4" l="1"/>
  <c r="E22" i="3"/>
  <c r="I12" i="4"/>
  <c r="F20" i="3"/>
  <c r="C7" i="5" s="1"/>
  <c r="F7" i="5"/>
  <c r="G10" i="4"/>
  <c r="E21" i="3"/>
  <c r="G7" i="4"/>
  <c r="D17" i="4"/>
  <c r="E23" i="3"/>
  <c r="G12" i="4"/>
  <c r="F18" i="3"/>
  <c r="F5" i="5"/>
  <c r="D13" i="3"/>
  <c r="D25" i="3" s="1"/>
  <c r="D24" i="3"/>
  <c r="E13" i="4" s="1"/>
  <c r="F13" i="4" s="1"/>
  <c r="G13" i="4" s="1"/>
  <c r="I13" i="4" s="1"/>
  <c r="G8" i="4"/>
  <c r="H10" i="4"/>
  <c r="I10" i="4" s="1"/>
  <c r="E24" i="3"/>
  <c r="B14" i="5"/>
  <c r="E19" i="3"/>
  <c r="H9" i="4"/>
  <c r="I9" i="4" s="1"/>
  <c r="B5" i="5"/>
  <c r="E7" i="4"/>
  <c r="F7" i="4" s="1"/>
  <c r="B11" i="5"/>
  <c r="H14" i="4"/>
  <c r="B10" i="5"/>
  <c r="H11" i="4"/>
  <c r="I11" i="4" s="1"/>
  <c r="B7" i="5"/>
  <c r="B8" i="5"/>
  <c r="H8" i="4"/>
  <c r="I8" i="4" s="1"/>
  <c r="H15" i="4"/>
  <c r="J13" i="4" l="1"/>
  <c r="D11" i="5" s="1"/>
  <c r="G11" i="5"/>
  <c r="E14" i="4"/>
  <c r="F14" i="4" s="1"/>
  <c r="G14" i="4" s="1"/>
  <c r="E25" i="3"/>
  <c r="F23" i="3"/>
  <c r="C10" i="5" s="1"/>
  <c r="F10" i="5"/>
  <c r="J11" i="4"/>
  <c r="D9" i="5" s="1"/>
  <c r="G9" i="5"/>
  <c r="C13" i="3"/>
  <c r="B15" i="5"/>
  <c r="G7" i="5"/>
  <c r="J9" i="4"/>
  <c r="D7" i="5" s="1"/>
  <c r="E7" i="5" s="1"/>
  <c r="C5" i="5"/>
  <c r="F11" i="5"/>
  <c r="F24" i="3"/>
  <c r="C11" i="5" s="1"/>
  <c r="H17" i="4"/>
  <c r="J8" i="4"/>
  <c r="D6" i="5" s="1"/>
  <c r="G6" i="5"/>
  <c r="J10" i="4"/>
  <c r="D8" i="5" s="1"/>
  <c r="G8" i="5"/>
  <c r="F21" i="3"/>
  <c r="C8" i="5" s="1"/>
  <c r="E8" i="5" s="1"/>
  <c r="F8" i="5"/>
  <c r="I14" i="4"/>
  <c r="G10" i="5"/>
  <c r="J12" i="4"/>
  <c r="D10" i="5" s="1"/>
  <c r="F6" i="5"/>
  <c r="F19" i="3"/>
  <c r="C6" i="5" s="1"/>
  <c r="E6" i="5" s="1"/>
  <c r="I7" i="4"/>
  <c r="F22" i="3"/>
  <c r="C9" i="5" s="1"/>
  <c r="F9" i="5"/>
  <c r="G12" i="5" l="1"/>
  <c r="J14" i="4"/>
  <c r="D12" i="5" s="1"/>
  <c r="D26" i="3"/>
  <c r="B13" i="3"/>
  <c r="D27" i="3" s="1"/>
  <c r="E10" i="5"/>
  <c r="F12" i="5"/>
  <c r="F25" i="3"/>
  <c r="C12" i="5" s="1"/>
  <c r="E12" i="5" s="1"/>
  <c r="G5" i="5"/>
  <c r="J7" i="4"/>
  <c r="E9" i="5"/>
  <c r="E11" i="5"/>
  <c r="D5" i="5" l="1"/>
  <c r="E16" i="4"/>
  <c r="F16" i="4" s="1"/>
  <c r="G16" i="4" s="1"/>
  <c r="I16" i="4" s="1"/>
  <c r="E27" i="3"/>
  <c r="E15" i="4"/>
  <c r="F15" i="4" s="1"/>
  <c r="G15" i="4" s="1"/>
  <c r="E26" i="3"/>
  <c r="F26" i="3" l="1"/>
  <c r="F13" i="5"/>
  <c r="E28" i="3"/>
  <c r="F27" i="3"/>
  <c r="C14" i="5" s="1"/>
  <c r="E14" i="5" s="1"/>
  <c r="F14" i="5"/>
  <c r="I15" i="4"/>
  <c r="G17" i="4"/>
  <c r="J16" i="4"/>
  <c r="D14" i="5" s="1"/>
  <c r="G14" i="5"/>
  <c r="E5" i="5"/>
  <c r="G13" i="5" l="1"/>
  <c r="J15" i="4"/>
  <c r="I17" i="4"/>
  <c r="C13" i="5"/>
  <c r="F28" i="3"/>
  <c r="C15" i="5" l="1"/>
  <c r="D18" i="5" s="1"/>
  <c r="D13" i="5"/>
  <c r="D15" i="5" s="1"/>
  <c r="D19" i="5" s="1"/>
  <c r="J17" i="4"/>
  <c r="E13" i="5" l="1"/>
  <c r="E1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Actuarial Model</author>
  </authors>
  <commentList>
    <comment ref="A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Defaults to the mechanical volume-weighted average (row above). An actuary may override any cell here with a judgmental selection (e.g. excluding a distorted year, or blending with a longer-term average) -- the rest of the model will recalculate automatically.</t>
        </r>
      </text>
    </comment>
    <comment ref="A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Judgmental assumption: with only 10 years of development observed, some claims still settle beyond 120 months. 1.010 (a 1.0% tail) is a simplifying, but realistic, assumption for commercial auto liability -- in practice this would be selected via curve-fitting (e.g. inverse power curve) or industry benchmark tail factors.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Actuarial Model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Judgmental selection: the Chain-Ladder-implied ultimate loss ratio for the most mature accident years (Dev Lag &gt;= 8, i.e. 1988-1990) averages ~68.5%. 65.0% is selected here, slightly below that average, for conservatism given rising loss-cost trend across the later accident years. This is the single most important judgment call in a BF analysis -- change this cell to see how sensitive the reserve estimate is to it.</t>
        </r>
      </text>
    </comment>
  </commentList>
</comments>
</file>

<file path=xl/sharedStrings.xml><?xml version="1.0" encoding="utf-8"?>
<sst xmlns="http://schemas.openxmlformats.org/spreadsheetml/2006/main" count="130" uniqueCount="102">
  <si>
    <t>General Insurance Loss Reserving Model</t>
  </si>
  <si>
    <t>Chain-Ladder + Bornhuetter-Ferguson | Commercial Auto Liability</t>
  </si>
  <si>
    <t>Data Source</t>
  </si>
  <si>
    <t>CAS (Casualty Actuarial Society) Loss Reserving Database, sourced from NAIC Schedule P statutory filings.</t>
  </si>
  <si>
    <t>Company</t>
  </si>
  <si>
    <t>State Farm Mutual Automobile Insurance Group (NAIC Group Code 1767)</t>
  </si>
  <si>
    <t>Line of Business</t>
  </si>
  <si>
    <t>Commercial Auto Liability</t>
  </si>
  <si>
    <t>Valuation Date</t>
  </si>
  <si>
    <t>As of calendar year-end 1997 (10 accident years: 1988-1997, evaluated at up to 10 years of development)</t>
  </si>
  <si>
    <t>Units</t>
  </si>
  <si>
    <t>All dollar figures in $000s (thousands), net of reinsurance, as reported to NAIC.</t>
  </si>
  <si>
    <t>What this workbook does</t>
  </si>
  <si>
    <t>Only the ~$1.87B of paid losses booked through 1997 is known with certainty for recent accident</t>
  </si>
  <si>
    <t>years. This model estimates the UNPAID portion (the loss reserve) using two independent</t>
  </si>
  <si>
    <t>actuarial methods, then cross-checks both against the company's own booked statutory reserve.</t>
  </si>
  <si>
    <t>Sheet 2: Triangle_Data</t>
  </si>
  <si>
    <t>Raw inputs -- cumulative paid-loss triangle, incurred-loss triangle (reference), earned</t>
  </si>
  <si>
    <t>premium, and the company's booked reserve.</t>
  </si>
  <si>
    <t>Sheet 3: Chain_Ladder</t>
  </si>
  <si>
    <t>Development-factor method: age-to-age factors -&gt; cumulative development factors -&gt;</t>
  </si>
  <si>
    <t>projected ultimate losses -&gt; reserve.</t>
  </si>
  <si>
    <t>Sheet 4: Bornhuetter_Ferguson</t>
  </si>
  <si>
    <t>Blends an a priori expected loss ratio with the Chain-Ladder's % reported, weighted</t>
  </si>
  <si>
    <t>toward the prior for the least-mature accident years.</t>
  </si>
  <si>
    <t>Sheet 5: Summary</t>
  </si>
  <si>
    <t>Side-by-side comparison of both methods vs. the company's booked reserve, with a chart.</t>
  </si>
  <si>
    <t>Companion files</t>
  </si>
  <si>
    <t>Reserve_Bootstrap.py runs a bootstrap simulation on this triangle to turn the single-point</t>
  </si>
  <si>
    <t>Chain-Ladder estimate into a full reserve distribution (a range, not just one number).</t>
  </si>
  <si>
    <t>Actuarial_Memo.pdf documents conclusions and judgment calls as a real reserving memo would.</t>
  </si>
  <si>
    <t>Key judgment calls</t>
  </si>
  <si>
    <t>Tail factor = 1.010 beyond 120 months (Chain_Ladder!C17, editable).</t>
  </si>
  <si>
    <t>A priori loss ratio (BF) = 65.0%, set from mature-year (Dev Lag &gt;= 8) CL-implied loss</t>
  </si>
  <si>
    <t>ratios (~68.5% avg.), rounded down for conservatism (Bornhuetter_Ferguson!C5, editable).</t>
  </si>
  <si>
    <t>Triangle_Data</t>
  </si>
  <si>
    <t>Raw inputs, sourced from CAS Schedule P (comauto_pos.csv) -- hard-coded facts, not formulas</t>
  </si>
  <si>
    <t>Cumulative Paid Losses, Net of Reinsurance ($000s)</t>
  </si>
  <si>
    <t>Accident Year</t>
  </si>
  <si>
    <t>Dev 1</t>
  </si>
  <si>
    <t>Dev 2</t>
  </si>
  <si>
    <t>Dev 3</t>
  </si>
  <si>
    <t>Dev 4</t>
  </si>
  <si>
    <t>Dev 5</t>
  </si>
  <si>
    <t>Dev 6</t>
  </si>
  <si>
    <t>Dev 7</t>
  </si>
  <si>
    <t>Dev 8</t>
  </si>
  <si>
    <t>Dev 9</t>
  </si>
  <si>
    <t>Dev 10</t>
  </si>
  <si>
    <t>Cumulative Incurred (Case + Paid) Losses, Net of Reinsurance ($000s) -- reference only</t>
  </si>
  <si>
    <t>Earned Premium, Net of Reinsurance ($000s)</t>
  </si>
  <si>
    <t>Earned Premium</t>
  </si>
  <si>
    <t>Company's Total Posted Statutory Reserve, YE1997 (all accident years combined, $000s)</t>
  </si>
  <si>
    <t>Posted Reserve</t>
  </si>
  <si>
    <t>Chain_Ladder</t>
  </si>
  <si>
    <t>Volume-Weighted Average Age-to-Age Development Method</t>
  </si>
  <si>
    <t>Age-to-Age Development Factors (Volume-Weighted Average)</t>
  </si>
  <si>
    <t>1 → 2</t>
  </si>
  <si>
    <t>2 → 3</t>
  </si>
  <si>
    <t>3 → 4</t>
  </si>
  <si>
    <t>4 → 5</t>
  </si>
  <si>
    <t>5 → 6</t>
  </si>
  <si>
    <t>6 → 7</t>
  </si>
  <si>
    <t>7 → 8</t>
  </si>
  <si>
    <t>8 → 9</t>
  </si>
  <si>
    <t>9 → 10</t>
  </si>
  <si>
    <t>Volume-Weighted Factor</t>
  </si>
  <si>
    <t>Selected Factor</t>
  </si>
  <si>
    <t>Tail Factor Assumption (Dev 10 → Ultimate)</t>
  </si>
  <si>
    <t>Cumulative Development Factors (CDF) to Ultimate</t>
  </si>
  <si>
    <t>CDF to Ultimate</t>
  </si>
  <si>
    <t>Projected Ultimate Losses &amp; Reserve by Accident Year</t>
  </si>
  <si>
    <t>Paid-to-Date
(Latest Diagonal)</t>
  </si>
  <si>
    <t>Dev Lag
(Maturity)</t>
  </si>
  <si>
    <t>CDF to
Ultimate</t>
  </si>
  <si>
    <t>Projected
Ultimate Loss</t>
  </si>
  <si>
    <t>IBNR + Case
Reserve (CL)</t>
  </si>
  <si>
    <t>Total</t>
  </si>
  <si>
    <t>Bornhuetter_Ferguson</t>
  </si>
  <si>
    <t>Blends an a priori expected loss ratio with the % of losses reported to date</t>
  </si>
  <si>
    <t>A Priori Expected Loss Ratio (ELR)</t>
  </si>
  <si>
    <t>Accident
Year</t>
  </si>
  <si>
    <t>Earned
Premium</t>
  </si>
  <si>
    <t>A Priori
ELR</t>
  </si>
  <si>
    <t>Expected
Losses
(Prem × ELR)</t>
  </si>
  <si>
    <t>% Unreported
(1 − 1/CDF)</t>
  </si>
  <si>
    <t>Expected
Unreported Losses</t>
  </si>
  <si>
    <t>Paid-to-
Date</t>
  </si>
  <si>
    <t>BF Ultimate
Loss</t>
  </si>
  <si>
    <t>BF Reserve
(IBNR)</t>
  </si>
  <si>
    <t>Note: % Unreported is lowest for mature years (little left to develop) and highest for 1997 (only 1 of ~10 years of development observed) -- this is exactly why BF leans on the a priori ELR most heavily for the newest, least-credible accident years.</t>
  </si>
  <si>
    <t>Summary</t>
  </si>
  <si>
    <t>Chain-Ladder vs. Bornhuetter-Ferguson vs. Company's Booked Reserve</t>
  </si>
  <si>
    <t>Chain-Ladder
Reserve</t>
  </si>
  <si>
    <t>BF
Reserve</t>
  </si>
  <si>
    <t>CL − BF
Difference</t>
  </si>
  <si>
    <t>CL Ultimate
Loss Ratio</t>
  </si>
  <si>
    <t>BF Ultimate
Loss Ratio</t>
  </si>
  <si>
    <t>Company's Booked (Posted) Reserve, YE1997</t>
  </si>
  <si>
    <t>Chain-Ladder Reserve vs. Booked</t>
  </si>
  <si>
    <t>BF Reserve vs. Booked</t>
  </si>
  <si>
    <t>Both independent methods project a higher ultimate reserve need than the company's own booked reserve -- see Actuarial_Memo.pdf for the full interpretation and recommended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</si>
</sst>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9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1"/>
      <name val="Calibri"/>
    </font>
    <font>
      <sz val="11"/>
      <name val="Calibri"/>
    </font>
    <font>
      <b/>
      <sz val="12"/>
      <color rgb="FF1F3864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3" fontId="4" fillId="0" borderId="1" xfId="0" applyNumberFormat="1" applyFont="1" applyBorder="1"/>
    <xf numFmtId="0" fontId="3" fillId="0" borderId="0" xfId="0" applyFont="1"/>
    <xf numFmtId="3" fontId="7" fillId="3" borderId="0" xfId="0" applyNumberFormat="1" applyFont="1" applyFill="1"/>
    <xf numFmtId="164" fontId="4" fillId="0" borderId="1" xfId="0" applyNumberFormat="1" applyFont="1" applyBorder="1"/>
    <xf numFmtId="164" fontId="7" fillId="3" borderId="1" xfId="0" applyNumberFormat="1" applyFont="1" applyFill="1" applyBorder="1"/>
    <xf numFmtId="1" fontId="4" fillId="0" borderId="1" xfId="0" applyNumberFormat="1" applyFon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0" fillId="4" borderId="1" xfId="0" applyFill="1" applyBorder="1"/>
    <xf numFmtId="165" fontId="7" fillId="3" borderId="1" xfId="0" applyNumberFormat="1" applyFont="1" applyFill="1" applyBorder="1"/>
    <xf numFmtId="165" fontId="4" fillId="0" borderId="1" xfId="0" applyNumberFormat="1" applyFont="1" applyBorder="1"/>
    <xf numFmtId="3" fontId="4" fillId="0" borderId="0" xfId="0" applyNumberFormat="1" applyFont="1"/>
    <xf numFmtId="3" fontId="0" fillId="0" borderId="0" xfId="0" applyNumberFormat="1"/>
    <xf numFmtId="0" fontId="2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Paid-to-Date vs. Projected Ultimate Loss by Accident Year (Chain-Ladder)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Chain_Ladder!$B$17</c:f>
              <c:strCache>
                <c:ptCount val="1"/>
                <c:pt idx="0">
                  <c:v>Paid-to-Date
(Latest Diagonal)</c:v>
                </c:pt>
              </c:strCache>
            </c:strRef>
          </c:tx>
          <c:spPr>
            <a:solidFill>
              <a:srgbClr val="8FAADC"/>
            </a:solidFill>
            <a:ln>
              <a:prstDash val="solid"/>
            </a:ln>
          </c:spPr>
          <c:invertIfNegative val="1"/>
          <c:cat>
            <c:numRef>
              <c:f>Chain_Ladder!$A$18:$A$27</c:f>
              <c:numCache>
                <c:formatCode>General</c:formatCode>
                <c:ptCount val="10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</c:numCache>
            </c:numRef>
          </c:cat>
          <c:val>
            <c:numRef>
              <c:f>Chain_Ladder!$B$18:$B$27</c:f>
              <c:numCache>
                <c:formatCode>#,##0</c:formatCode>
                <c:ptCount val="10"/>
                <c:pt idx="0">
                  <c:v>193499</c:v>
                </c:pt>
                <c:pt idx="1">
                  <c:v>199997</c:v>
                </c:pt>
                <c:pt idx="2">
                  <c:v>224078</c:v>
                </c:pt>
                <c:pt idx="3">
                  <c:v>204911</c:v>
                </c:pt>
                <c:pt idx="4">
                  <c:v>208008</c:v>
                </c:pt>
                <c:pt idx="5">
                  <c:v>219345</c:v>
                </c:pt>
                <c:pt idx="6">
                  <c:v>212446</c:v>
                </c:pt>
                <c:pt idx="7">
                  <c:v>190974</c:v>
                </c:pt>
                <c:pt idx="8">
                  <c:v>143590</c:v>
                </c:pt>
                <c:pt idx="9">
                  <c:v>75827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EF-4657-AF45-DDAC6BCE53AB}"/>
            </c:ext>
          </c:extLst>
        </c:ser>
        <c:ser>
          <c:idx val="1"/>
          <c:order val="1"/>
          <c:tx>
            <c:strRef>
              <c:f>Chain_Ladder!$E$17</c:f>
              <c:strCache>
                <c:ptCount val="1"/>
                <c:pt idx="0">
                  <c:v>Projected
Ultimate Loss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numRef>
              <c:f>Chain_Ladder!$A$18:$A$27</c:f>
              <c:numCache>
                <c:formatCode>General</c:formatCode>
                <c:ptCount val="10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</c:numCache>
            </c:numRef>
          </c:cat>
          <c:val>
            <c:numRef>
              <c:f>Chain_Ladder!$E$18:$E$27</c:f>
              <c:numCache>
                <c:formatCode>#,##0</c:formatCode>
                <c:ptCount val="10"/>
                <c:pt idx="0">
                  <c:v>195433.99</c:v>
                </c:pt>
                <c:pt idx="1">
                  <c:v>205155.42566675413</c:v>
                </c:pt>
                <c:pt idx="2">
                  <c:v>231484.67419972291</c:v>
                </c:pt>
                <c:pt idx="3">
                  <c:v>213515.15542888793</c:v>
                </c:pt>
                <c:pt idx="4">
                  <c:v>220212.62353801157</c:v>
                </c:pt>
                <c:pt idx="5">
                  <c:v>240932.31412249626</c:v>
                </c:pt>
                <c:pt idx="6">
                  <c:v>248744.85368622534</c:v>
                </c:pt>
                <c:pt idx="7">
                  <c:v>254802.42260544904</c:v>
                </c:pt>
                <c:pt idx="8">
                  <c:v>246058.17318404341</c:v>
                </c:pt>
                <c:pt idx="9">
                  <c:v>249550.38075820901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EF-4657-AF45-DDAC6BCE5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Accident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$000s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Loss Reserve by Accident Year: Chain-Ladder vs. Bornhuetter-Ferguson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458333333333334E-2"/>
          <c:y val="3.6962365591397851E-2"/>
          <c:w val="0.95737268518518515"/>
          <c:h val="0.9059139784946237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Summary!$C$4</c:f>
              <c:strCache>
                <c:ptCount val="1"/>
                <c:pt idx="0">
                  <c:v>Chain-Ladder
Reserve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numRef>
              <c:f>Summary!$A$5:$A$14</c:f>
              <c:numCache>
                <c:formatCode>General</c:formatCode>
                <c:ptCount val="10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</c:numCache>
            </c:numRef>
          </c:cat>
          <c:val>
            <c:numRef>
              <c:f>Summary!$C$5:$C$14</c:f>
              <c:numCache>
                <c:formatCode>#,##0</c:formatCode>
                <c:ptCount val="10"/>
                <c:pt idx="0">
                  <c:v>1934.9899999999907</c:v>
                </c:pt>
                <c:pt idx="1">
                  <c:v>5158.425666754134</c:v>
                </c:pt>
                <c:pt idx="2">
                  <c:v>7406.674199722911</c:v>
                </c:pt>
                <c:pt idx="3">
                  <c:v>8604.155428887927</c:v>
                </c:pt>
                <c:pt idx="4">
                  <c:v>12204.623538011569</c:v>
                </c:pt>
                <c:pt idx="5">
                  <c:v>21587.31412249626</c:v>
                </c:pt>
                <c:pt idx="6">
                  <c:v>36298.853686225339</c:v>
                </c:pt>
                <c:pt idx="7">
                  <c:v>63828.422605449043</c:v>
                </c:pt>
                <c:pt idx="8">
                  <c:v>102468.17318404341</c:v>
                </c:pt>
                <c:pt idx="9">
                  <c:v>173723.38075820901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D6-4914-8F05-6535E3232ED8}"/>
            </c:ext>
          </c:extLst>
        </c:ser>
        <c:ser>
          <c:idx val="1"/>
          <c:order val="1"/>
          <c:tx>
            <c:strRef>
              <c:f>Summary!$D$4</c:f>
              <c:strCache>
                <c:ptCount val="1"/>
                <c:pt idx="0">
                  <c:v>BF
Reserve</c:v>
                </c:pt>
              </c:strCache>
            </c:strRef>
          </c:tx>
          <c:spPr>
            <a:solidFill>
              <a:srgbClr val="BF9000"/>
            </a:solidFill>
            <a:ln>
              <a:prstDash val="solid"/>
            </a:ln>
          </c:spPr>
          <c:invertIfNegative val="1"/>
          <c:cat>
            <c:numRef>
              <c:f>Summary!$A$5:$A$14</c:f>
              <c:numCache>
                <c:formatCode>General</c:formatCode>
                <c:ptCount val="10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</c:numCache>
            </c:numRef>
          </c:cat>
          <c:val>
            <c:numRef>
              <c:f>Summary!$D$5:$D$14</c:f>
              <c:numCache>
                <c:formatCode>#,##0</c:formatCode>
                <c:ptCount val="10"/>
                <c:pt idx="0">
                  <c:v>1843.0267326732574</c:v>
                </c:pt>
                <c:pt idx="1">
                  <c:v>5048.6664827239001</c:v>
                </c:pt>
                <c:pt idx="2">
                  <c:v>6790.4965220058803</c:v>
                </c:pt>
                <c:pt idx="3">
                  <c:v>8712.3644298275176</c:v>
                </c:pt>
                <c:pt idx="4">
                  <c:v>12316.34743885987</c:v>
                </c:pt>
                <c:pt idx="5">
                  <c:v>20723.90922513738</c:v>
                </c:pt>
                <c:pt idx="6">
                  <c:v>36023.457715345023</c:v>
                </c:pt>
                <c:pt idx="7">
                  <c:v>64927.705777902185</c:v>
                </c:pt>
                <c:pt idx="8">
                  <c:v>110063.04964057251</c:v>
                </c:pt>
                <c:pt idx="9">
                  <c:v>183946.29118388009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DD6-4914-8F05-6535E3232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Accident Year</a:t>
                </a:r>
              </a:p>
            </c:rich>
          </c:tx>
          <c:layout>
            <c:manualLayout>
              <c:xMode val="edge"/>
              <c:yMode val="edge"/>
              <c:x val="0.45509803240740748"/>
              <c:y val="0.9463599999999999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$000s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021157407407413"/>
          <c:y val="0.11841500000000002"/>
          <c:w val="0.10426759259259259"/>
          <c:h val="0.2128366666666666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8640000" cy="3779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>
      <selection activeCell="B17" sqref="B17"/>
    </sheetView>
  </sheetViews>
  <sheetFormatPr defaultRowHeight="14.4"/>
  <cols>
    <col min="1" max="1" width="26" customWidth="1"/>
    <col min="2" max="2" width="100" customWidth="1"/>
  </cols>
  <sheetData>
    <row r="1" spans="1:2" ht="21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3" t="s">
        <v>12</v>
      </c>
      <c r="B10" s="4" t="s">
        <v>13</v>
      </c>
    </row>
    <row r="11" spans="1:2">
      <c r="B11" s="4" t="s">
        <v>14</v>
      </c>
    </row>
    <row r="12" spans="1:2">
      <c r="B12" s="4" t="s">
        <v>15</v>
      </c>
    </row>
    <row r="14" spans="1:2">
      <c r="A14" s="3" t="s">
        <v>16</v>
      </c>
      <c r="B14" s="4" t="s">
        <v>17</v>
      </c>
    </row>
    <row r="15" spans="1:2">
      <c r="B15" s="4" t="s">
        <v>18</v>
      </c>
    </row>
    <row r="16" spans="1:2">
      <c r="A16" s="3" t="s">
        <v>19</v>
      </c>
      <c r="B16" s="4" t="s">
        <v>20</v>
      </c>
    </row>
    <row r="17" spans="1:2">
      <c r="B17" s="4" t="s">
        <v>21</v>
      </c>
    </row>
    <row r="18" spans="1:2">
      <c r="A18" s="3" t="s">
        <v>22</v>
      </c>
      <c r="B18" s="4" t="s">
        <v>23</v>
      </c>
    </row>
    <row r="19" spans="1:2">
      <c r="B19" s="4" t="s">
        <v>24</v>
      </c>
    </row>
    <row r="20" spans="1:2">
      <c r="A20" s="3" t="s">
        <v>25</v>
      </c>
      <c r="B20" s="4" t="s">
        <v>26</v>
      </c>
    </row>
    <row r="22" spans="1:2">
      <c r="A22" s="3" t="s">
        <v>27</v>
      </c>
      <c r="B22" s="4" t="s">
        <v>28</v>
      </c>
    </row>
    <row r="23" spans="1:2">
      <c r="B23" s="4" t="s">
        <v>29</v>
      </c>
    </row>
    <row r="24" spans="1:2">
      <c r="B24" s="4" t="s">
        <v>30</v>
      </c>
    </row>
    <row r="26" spans="1:2">
      <c r="A26" s="3" t="s">
        <v>31</v>
      </c>
      <c r="B26" s="4" t="s">
        <v>32</v>
      </c>
    </row>
    <row r="27" spans="1:2">
      <c r="B27" s="4" t="s">
        <v>33</v>
      </c>
    </row>
    <row r="28" spans="1:2">
      <c r="B28" s="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showGridLines="0" workbookViewId="0">
      <selection activeCell="F20" sqref="F20"/>
    </sheetView>
  </sheetViews>
  <sheetFormatPr defaultRowHeight="14.4"/>
  <cols>
    <col min="1" max="1" width="14.109375" customWidth="1"/>
    <col min="2" max="2" width="15.109375" bestFit="1" customWidth="1"/>
    <col min="3" max="11" width="11" customWidth="1"/>
  </cols>
  <sheetData>
    <row r="1" spans="1:11" ht="21">
      <c r="A1" s="1" t="s">
        <v>35</v>
      </c>
    </row>
    <row r="2" spans="1:11">
      <c r="A2" s="2" t="s">
        <v>36</v>
      </c>
    </row>
    <row r="4" spans="1:11" ht="15.6">
      <c r="A4" s="5" t="s">
        <v>37</v>
      </c>
    </row>
    <row r="5" spans="1:11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</row>
    <row r="6" spans="1:11">
      <c r="A6" s="7">
        <v>1988</v>
      </c>
      <c r="B6" s="8">
        <v>54699</v>
      </c>
      <c r="C6" s="8">
        <v>108337</v>
      </c>
      <c r="D6" s="8">
        <v>143899</v>
      </c>
      <c r="E6" s="8">
        <v>164818</v>
      </c>
      <c r="F6" s="8">
        <v>179538</v>
      </c>
      <c r="G6" s="8">
        <v>185391</v>
      </c>
      <c r="H6" s="8">
        <v>188023</v>
      </c>
      <c r="I6" s="8">
        <v>189759</v>
      </c>
      <c r="J6" s="8">
        <v>190520</v>
      </c>
      <c r="K6" s="8">
        <v>193499</v>
      </c>
    </row>
    <row r="7" spans="1:11">
      <c r="A7" s="7">
        <v>1989</v>
      </c>
      <c r="B7" s="8">
        <v>60091</v>
      </c>
      <c r="C7" s="8">
        <v>119366</v>
      </c>
      <c r="D7" s="8">
        <v>151151</v>
      </c>
      <c r="E7" s="8">
        <v>174665</v>
      </c>
      <c r="F7" s="8">
        <v>185469</v>
      </c>
      <c r="G7" s="8">
        <v>192213</v>
      </c>
      <c r="H7" s="8">
        <v>196152</v>
      </c>
      <c r="I7" s="8">
        <v>198013</v>
      </c>
      <c r="J7" s="8">
        <v>199997</v>
      </c>
      <c r="K7" s="8"/>
    </row>
    <row r="8" spans="1:11">
      <c r="A8" s="7">
        <v>1990</v>
      </c>
      <c r="B8" s="8">
        <v>65860</v>
      </c>
      <c r="C8" s="8">
        <v>130803</v>
      </c>
      <c r="D8" s="8">
        <v>172390</v>
      </c>
      <c r="E8" s="8">
        <v>197977</v>
      </c>
      <c r="F8" s="8">
        <v>210230</v>
      </c>
      <c r="G8" s="8">
        <v>219267</v>
      </c>
      <c r="H8" s="8">
        <v>222428</v>
      </c>
      <c r="I8" s="8">
        <v>224078</v>
      </c>
      <c r="J8" s="8"/>
      <c r="K8" s="8"/>
    </row>
    <row r="9" spans="1:11">
      <c r="A9" s="7">
        <v>1991</v>
      </c>
      <c r="B9" s="8">
        <v>61946</v>
      </c>
      <c r="C9" s="8">
        <v>121108</v>
      </c>
      <c r="D9" s="8">
        <v>158880</v>
      </c>
      <c r="E9" s="8">
        <v>182689</v>
      </c>
      <c r="F9" s="8">
        <v>195247</v>
      </c>
      <c r="G9" s="8">
        <v>201854</v>
      </c>
      <c r="H9" s="8">
        <v>204911</v>
      </c>
      <c r="I9" s="8"/>
      <c r="J9" s="8"/>
      <c r="K9" s="8"/>
    </row>
    <row r="10" spans="1:11">
      <c r="A10" s="7">
        <v>1992</v>
      </c>
      <c r="B10" s="8">
        <v>65043</v>
      </c>
      <c r="C10" s="8">
        <v>128550</v>
      </c>
      <c r="D10" s="8">
        <v>164433</v>
      </c>
      <c r="E10" s="8">
        <v>187508</v>
      </c>
      <c r="F10" s="8">
        <v>199823</v>
      </c>
      <c r="G10" s="8">
        <v>208008</v>
      </c>
      <c r="H10" s="8"/>
      <c r="I10" s="8"/>
      <c r="J10" s="8"/>
      <c r="K10" s="8"/>
    </row>
    <row r="11" spans="1:11">
      <c r="A11" s="7">
        <v>1993</v>
      </c>
      <c r="B11" s="8">
        <v>72295</v>
      </c>
      <c r="C11" s="8">
        <v>144579</v>
      </c>
      <c r="D11" s="8">
        <v>185446</v>
      </c>
      <c r="E11" s="8">
        <v>208388</v>
      </c>
      <c r="F11" s="8">
        <v>219345</v>
      </c>
      <c r="G11" s="8"/>
      <c r="H11" s="8"/>
      <c r="I11" s="8"/>
      <c r="J11" s="8"/>
      <c r="K11" s="8"/>
    </row>
    <row r="12" spans="1:11">
      <c r="A12" s="7">
        <v>1994</v>
      </c>
      <c r="B12" s="8">
        <v>81988</v>
      </c>
      <c r="C12" s="8">
        <v>151197</v>
      </c>
      <c r="D12" s="8">
        <v>189630</v>
      </c>
      <c r="E12" s="8">
        <v>212446</v>
      </c>
      <c r="F12" s="8"/>
      <c r="G12" s="8"/>
      <c r="H12" s="8"/>
      <c r="I12" s="8"/>
      <c r="J12" s="8"/>
      <c r="K12" s="8"/>
    </row>
    <row r="13" spans="1:11">
      <c r="A13" s="7">
        <v>1995</v>
      </c>
      <c r="B13" s="8">
        <v>83207</v>
      </c>
      <c r="C13" s="8">
        <v>152470</v>
      </c>
      <c r="D13" s="8">
        <v>190974</v>
      </c>
      <c r="E13" s="8"/>
      <c r="F13" s="8"/>
      <c r="G13" s="8"/>
      <c r="H13" s="8"/>
      <c r="I13" s="8"/>
      <c r="J13" s="8"/>
      <c r="K13" s="8"/>
    </row>
    <row r="14" spans="1:11">
      <c r="A14" s="7">
        <v>1996</v>
      </c>
      <c r="B14" s="8">
        <v>79699</v>
      </c>
      <c r="C14" s="8">
        <v>143590</v>
      </c>
      <c r="D14" s="8"/>
      <c r="E14" s="8"/>
      <c r="F14" s="8"/>
      <c r="G14" s="8"/>
      <c r="H14" s="8"/>
      <c r="I14" s="8"/>
      <c r="J14" s="8"/>
      <c r="K14" s="8"/>
    </row>
    <row r="15" spans="1:11">
      <c r="A15" s="7">
        <v>1997</v>
      </c>
      <c r="B15" s="8">
        <v>75827</v>
      </c>
      <c r="C15" s="8"/>
      <c r="D15" s="8"/>
      <c r="E15" s="8"/>
      <c r="F15" s="8"/>
      <c r="G15" s="8"/>
      <c r="H15" s="8"/>
      <c r="I15" s="8"/>
      <c r="J15" s="8"/>
      <c r="K15" s="8"/>
    </row>
    <row r="18" spans="1:11" ht="15.6">
      <c r="A18" s="5" t="s">
        <v>49</v>
      </c>
    </row>
    <row r="19" spans="1:11">
      <c r="A19" s="6" t="s">
        <v>38</v>
      </c>
      <c r="B19" s="6" t="s">
        <v>39</v>
      </c>
      <c r="C19" s="6" t="s">
        <v>40</v>
      </c>
      <c r="D19" s="6" t="s">
        <v>41</v>
      </c>
      <c r="E19" s="6" t="s">
        <v>42</v>
      </c>
      <c r="F19" s="6" t="s">
        <v>43</v>
      </c>
      <c r="G19" s="6" t="s">
        <v>44</v>
      </c>
      <c r="H19" s="6" t="s">
        <v>45</v>
      </c>
      <c r="I19" s="6" t="s">
        <v>46</v>
      </c>
      <c r="J19" s="6" t="s">
        <v>47</v>
      </c>
      <c r="K19" s="6" t="s">
        <v>48</v>
      </c>
    </row>
    <row r="20" spans="1:11">
      <c r="A20" s="7">
        <v>1988</v>
      </c>
      <c r="B20" s="8">
        <v>172262</v>
      </c>
      <c r="C20" s="8">
        <v>180112</v>
      </c>
      <c r="D20" s="8">
        <v>187158</v>
      </c>
      <c r="E20" s="8">
        <v>188775</v>
      </c>
      <c r="F20" s="8">
        <v>190569</v>
      </c>
      <c r="G20" s="8">
        <v>190701</v>
      </c>
      <c r="H20" s="8">
        <v>190344</v>
      </c>
      <c r="I20" s="8">
        <v>191752</v>
      </c>
      <c r="J20" s="8">
        <v>192087</v>
      </c>
      <c r="K20" s="8">
        <v>194099</v>
      </c>
    </row>
    <row r="21" spans="1:11">
      <c r="A21" s="7">
        <v>1989</v>
      </c>
      <c r="B21" s="8">
        <v>192154</v>
      </c>
      <c r="C21" s="8">
        <v>198550</v>
      </c>
      <c r="D21" s="8">
        <v>196977</v>
      </c>
      <c r="E21" s="8">
        <v>197877</v>
      </c>
      <c r="F21" s="8">
        <v>198265</v>
      </c>
      <c r="G21" s="8">
        <v>198957</v>
      </c>
      <c r="H21" s="8">
        <v>200108</v>
      </c>
      <c r="I21" s="8">
        <v>200044</v>
      </c>
      <c r="J21" s="8">
        <v>201101</v>
      </c>
      <c r="K21" s="8"/>
    </row>
    <row r="22" spans="1:11">
      <c r="A22" s="7">
        <v>1990</v>
      </c>
      <c r="B22" s="8">
        <v>215766</v>
      </c>
      <c r="C22" s="8">
        <v>218769</v>
      </c>
      <c r="D22" s="8">
        <v>222694</v>
      </c>
      <c r="E22" s="8">
        <v>225682</v>
      </c>
      <c r="F22" s="8">
        <v>226110</v>
      </c>
      <c r="G22" s="8">
        <v>226247</v>
      </c>
      <c r="H22" s="8">
        <v>226698</v>
      </c>
      <c r="I22" s="8">
        <v>226739</v>
      </c>
      <c r="J22" s="8"/>
      <c r="K22" s="8"/>
    </row>
    <row r="23" spans="1:11">
      <c r="A23" s="7">
        <v>1991</v>
      </c>
      <c r="B23" s="8">
        <v>208425</v>
      </c>
      <c r="C23" s="8">
        <v>207219</v>
      </c>
      <c r="D23" s="8">
        <v>207811</v>
      </c>
      <c r="E23" s="8">
        <v>211186</v>
      </c>
      <c r="F23" s="8">
        <v>210054</v>
      </c>
      <c r="G23" s="8">
        <v>208456</v>
      </c>
      <c r="H23" s="8">
        <v>207581</v>
      </c>
      <c r="I23" s="8"/>
      <c r="J23" s="8"/>
      <c r="K23" s="8"/>
    </row>
    <row r="24" spans="1:11">
      <c r="A24" s="7">
        <v>1992</v>
      </c>
      <c r="B24" s="8">
        <v>216172</v>
      </c>
      <c r="C24" s="8">
        <v>217665</v>
      </c>
      <c r="D24" s="8">
        <v>216400</v>
      </c>
      <c r="E24" s="8">
        <v>214510</v>
      </c>
      <c r="F24" s="8">
        <v>212937</v>
      </c>
      <c r="G24" s="8">
        <v>214979</v>
      </c>
      <c r="H24" s="8"/>
      <c r="I24" s="8"/>
      <c r="J24" s="8"/>
      <c r="K24" s="8"/>
    </row>
    <row r="25" spans="1:11">
      <c r="A25" s="7">
        <v>1993</v>
      </c>
      <c r="B25" s="8">
        <v>237378</v>
      </c>
      <c r="C25" s="8">
        <v>237679</v>
      </c>
      <c r="D25" s="8">
        <v>237253</v>
      </c>
      <c r="E25" s="8">
        <v>233699</v>
      </c>
      <c r="F25" s="8">
        <v>231958</v>
      </c>
      <c r="G25" s="8"/>
      <c r="H25" s="8"/>
      <c r="I25" s="8"/>
      <c r="J25" s="8"/>
      <c r="K25" s="8"/>
    </row>
    <row r="26" spans="1:11">
      <c r="A26" s="7">
        <v>1994</v>
      </c>
      <c r="B26" s="8">
        <v>249592</v>
      </c>
      <c r="C26" s="8">
        <v>248849</v>
      </c>
      <c r="D26" s="8">
        <v>242493</v>
      </c>
      <c r="E26" s="8">
        <v>243140</v>
      </c>
      <c r="F26" s="8"/>
      <c r="G26" s="8"/>
      <c r="H26" s="8"/>
      <c r="I26" s="8"/>
      <c r="J26" s="8"/>
      <c r="K26" s="8"/>
    </row>
    <row r="27" spans="1:11">
      <c r="A27" s="7">
        <v>1995</v>
      </c>
      <c r="B27" s="8">
        <v>256434</v>
      </c>
      <c r="C27" s="8">
        <v>249225</v>
      </c>
      <c r="D27" s="8">
        <v>238468</v>
      </c>
      <c r="E27" s="8"/>
      <c r="F27" s="8"/>
      <c r="G27" s="8"/>
      <c r="H27" s="8"/>
      <c r="I27" s="8"/>
      <c r="J27" s="8"/>
      <c r="K27" s="8"/>
    </row>
    <row r="28" spans="1:11">
      <c r="A28" s="7">
        <v>1996</v>
      </c>
      <c r="B28" s="8">
        <v>237860</v>
      </c>
      <c r="C28" s="8">
        <v>227353</v>
      </c>
      <c r="D28" s="8"/>
      <c r="E28" s="8"/>
      <c r="F28" s="8"/>
      <c r="G28" s="8"/>
      <c r="H28" s="8"/>
      <c r="I28" s="8"/>
      <c r="J28" s="8"/>
      <c r="K28" s="8"/>
    </row>
    <row r="29" spans="1:11">
      <c r="A29" s="7">
        <v>1997</v>
      </c>
      <c r="B29" s="8">
        <v>220029</v>
      </c>
      <c r="C29" s="8"/>
      <c r="D29" s="8"/>
      <c r="E29" s="8"/>
      <c r="F29" s="8"/>
      <c r="G29" s="8"/>
      <c r="H29" s="8"/>
      <c r="I29" s="8"/>
      <c r="J29" s="8"/>
      <c r="K29" s="8"/>
    </row>
    <row r="32" spans="1:11" ht="15.6">
      <c r="A32" s="5" t="s">
        <v>50</v>
      </c>
    </row>
    <row r="33" spans="1:2">
      <c r="A33" s="6" t="s">
        <v>38</v>
      </c>
      <c r="B33" s="6" t="s">
        <v>51</v>
      </c>
    </row>
    <row r="34" spans="1:2">
      <c r="A34" s="7">
        <v>1988</v>
      </c>
      <c r="B34" s="8">
        <v>286378</v>
      </c>
    </row>
    <row r="35" spans="1:2">
      <c r="A35" s="7">
        <v>1989</v>
      </c>
      <c r="B35" s="8">
        <v>308908</v>
      </c>
    </row>
    <row r="36" spans="1:2">
      <c r="A36" s="7">
        <v>1990</v>
      </c>
      <c r="B36" s="8">
        <v>326503</v>
      </c>
    </row>
    <row r="37" spans="1:2">
      <c r="A37" s="7">
        <v>1991</v>
      </c>
      <c r="B37" s="8">
        <v>332616</v>
      </c>
    </row>
    <row r="38" spans="1:2">
      <c r="A38" s="7">
        <v>1992</v>
      </c>
      <c r="B38" s="8">
        <v>341890</v>
      </c>
    </row>
    <row r="39" spans="1:2">
      <c r="A39" s="7">
        <v>1993</v>
      </c>
      <c r="B39" s="8">
        <v>355840</v>
      </c>
    </row>
    <row r="40" spans="1:2">
      <c r="A40" s="7">
        <v>1994</v>
      </c>
      <c r="B40" s="8">
        <v>379781</v>
      </c>
    </row>
    <row r="41" spans="1:2">
      <c r="A41" s="7">
        <v>1995</v>
      </c>
      <c r="B41" s="8">
        <v>398755</v>
      </c>
    </row>
    <row r="42" spans="1:2">
      <c r="A42" s="7">
        <v>1996</v>
      </c>
      <c r="B42" s="8">
        <v>406609</v>
      </c>
    </row>
    <row r="43" spans="1:2">
      <c r="A43" s="7">
        <v>1997</v>
      </c>
      <c r="B43" s="8">
        <v>406516</v>
      </c>
    </row>
    <row r="46" spans="1:2" ht="15.6">
      <c r="A46" s="5" t="s">
        <v>52</v>
      </c>
    </row>
    <row r="47" spans="1:2">
      <c r="A47" s="9" t="s">
        <v>53</v>
      </c>
      <c r="B47" s="10">
        <v>360657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showGridLines="0" topLeftCell="A16" workbookViewId="0">
      <selection activeCell="D27" sqref="D27"/>
    </sheetView>
  </sheetViews>
  <sheetFormatPr defaultRowHeight="14.4"/>
  <cols>
    <col min="1" max="1" width="24" customWidth="1"/>
    <col min="2" max="11" width="12" customWidth="1"/>
  </cols>
  <sheetData>
    <row r="1" spans="1:11" ht="21">
      <c r="A1" s="1" t="s">
        <v>54</v>
      </c>
    </row>
    <row r="2" spans="1:11">
      <c r="A2" s="2" t="s">
        <v>55</v>
      </c>
    </row>
    <row r="4" spans="1:11" ht="15.6">
      <c r="A4" s="5" t="s">
        <v>56</v>
      </c>
    </row>
    <row r="5" spans="1:11">
      <c r="A5" s="6"/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6" t="s">
        <v>62</v>
      </c>
      <c r="H5" s="6" t="s">
        <v>63</v>
      </c>
      <c r="I5" s="6" t="s">
        <v>64</v>
      </c>
      <c r="J5" s="6" t="s">
        <v>65</v>
      </c>
    </row>
    <row r="6" spans="1:11">
      <c r="A6" s="9" t="s">
        <v>66</v>
      </c>
      <c r="B6" s="11">
        <f>SUM(Triangle_Data!C6:C14)/SUM(Triangle_Data!B6:B14)</f>
        <v>1.920528529451305</v>
      </c>
      <c r="C6" s="11">
        <f>SUM(Triangle_Data!D6:D13)/SUM(Triangle_Data!C6:C13)</f>
        <v>1.284352666105016</v>
      </c>
      <c r="D6" s="11">
        <f>SUM(Triangle_Data!E6:E12)/SUM(Triangle_Data!D6:D12)</f>
        <v>1.1395247501992145</v>
      </c>
      <c r="E6" s="11">
        <f>SUM(Triangle_Data!F6:F11)/SUM(Triangle_Data!E6:E11)</f>
        <v>1.0659534337773118</v>
      </c>
      <c r="F6" s="11">
        <f>SUM(Triangle_Data!G6:G10)/SUM(Triangle_Data!F6:F10)</f>
        <v>1.0375406958828495</v>
      </c>
      <c r="G6" s="11">
        <f>SUM(Triangle_Data!H6:H9)/SUM(Triangle_Data!G6:G9)</f>
        <v>1.0160117687564556</v>
      </c>
      <c r="H6" s="11">
        <f>SUM(Triangle_Data!I6:I8)/SUM(Triangle_Data!H6:H8)</f>
        <v>1.0086498088535665</v>
      </c>
      <c r="I6" s="11">
        <f>SUM(Triangle_Data!J6:J7)/SUM(Triangle_Data!I6:I7)</f>
        <v>1.0070789020352167</v>
      </c>
      <c r="J6" s="11">
        <f>SUM(Triangle_Data!K6:K6)/SUM(Triangle_Data!J6:J6)</f>
        <v>1.0156361536846525</v>
      </c>
    </row>
    <row r="7" spans="1:11">
      <c r="A7" s="9" t="s">
        <v>67</v>
      </c>
      <c r="B7" s="12">
        <f t="shared" ref="B7:J7" si="0">B6</f>
        <v>1.920528529451305</v>
      </c>
      <c r="C7" s="12">
        <f t="shared" si="0"/>
        <v>1.284352666105016</v>
      </c>
      <c r="D7" s="12">
        <f t="shared" si="0"/>
        <v>1.1395247501992145</v>
      </c>
      <c r="E7" s="12">
        <f t="shared" si="0"/>
        <v>1.0659534337773118</v>
      </c>
      <c r="F7" s="12">
        <f t="shared" si="0"/>
        <v>1.0375406958828495</v>
      </c>
      <c r="G7" s="12">
        <f t="shared" si="0"/>
        <v>1.0160117687564556</v>
      </c>
      <c r="H7" s="12">
        <f t="shared" si="0"/>
        <v>1.0086498088535665</v>
      </c>
      <c r="I7" s="12">
        <f t="shared" si="0"/>
        <v>1.0070789020352167</v>
      </c>
      <c r="J7" s="12">
        <f t="shared" si="0"/>
        <v>1.0156361536846525</v>
      </c>
    </row>
    <row r="9" spans="1:11">
      <c r="A9" s="9" t="s">
        <v>68</v>
      </c>
      <c r="B9" s="12">
        <v>1.01</v>
      </c>
    </row>
    <row r="11" spans="1:11" ht="15.6">
      <c r="A11" s="5" t="s">
        <v>69</v>
      </c>
    </row>
    <row r="12" spans="1:11">
      <c r="A12" s="6"/>
      <c r="B12" s="6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44</v>
      </c>
      <c r="H12" s="6" t="s">
        <v>45</v>
      </c>
      <c r="I12" s="6" t="s">
        <v>46</v>
      </c>
      <c r="J12" s="6" t="s">
        <v>47</v>
      </c>
      <c r="K12" s="6" t="s">
        <v>48</v>
      </c>
    </row>
    <row r="13" spans="1:11">
      <c r="A13" s="9" t="s">
        <v>70</v>
      </c>
      <c r="B13" s="11">
        <f t="shared" ref="B13:H13" si="1">B7*C13</f>
        <v>3.2910491086052329</v>
      </c>
      <c r="C13" s="11">
        <f t="shared" si="1"/>
        <v>1.7136163603596588</v>
      </c>
      <c r="D13" s="11">
        <f t="shared" si="1"/>
        <v>1.3342257197600147</v>
      </c>
      <c r="E13" s="11">
        <f t="shared" si="1"/>
        <v>1.1708615539300591</v>
      </c>
      <c r="F13" s="11">
        <f t="shared" si="1"/>
        <v>1.0984171698579692</v>
      </c>
      <c r="G13" s="11">
        <f t="shared" si="1"/>
        <v>1.0586738180166704</v>
      </c>
      <c r="H13" s="11">
        <f t="shared" si="1"/>
        <v>1.0419897195801491</v>
      </c>
      <c r="I13" s="11">
        <f>I7*J13</f>
        <v>1.0330539999452106</v>
      </c>
      <c r="J13" s="11">
        <f>J7*K13</f>
        <v>1.0257925152214991</v>
      </c>
      <c r="K13" s="11">
        <f>B9</f>
        <v>1.01</v>
      </c>
    </row>
    <row r="16" spans="1:11" ht="15.6">
      <c r="A16" s="5" t="s">
        <v>71</v>
      </c>
    </row>
    <row r="17" spans="1:6" ht="30" customHeight="1">
      <c r="A17" s="6" t="s">
        <v>38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</row>
    <row r="18" spans="1:6">
      <c r="A18" s="7">
        <f>Triangle_Data!A6</f>
        <v>1988</v>
      </c>
      <c r="B18" s="8">
        <f>LOOKUP(9.99E+307,Triangle_Data!B6:K6)</f>
        <v>193499</v>
      </c>
      <c r="C18" s="13">
        <f>COUNT(Triangle_Data!B6:K6)</f>
        <v>10</v>
      </c>
      <c r="D18" s="11">
        <f t="shared" ref="D18:D27" si="2">INDEX($B$13:$K$13,C18)</f>
        <v>1.01</v>
      </c>
      <c r="E18" s="8">
        <f t="shared" ref="E18:E27" si="3">B18*D18</f>
        <v>195433.99</v>
      </c>
      <c r="F18" s="8">
        <f t="shared" ref="F18:F27" si="4">E18-B18</f>
        <v>1934.9899999999907</v>
      </c>
    </row>
    <row r="19" spans="1:6">
      <c r="A19" s="7">
        <f>Triangle_Data!A7</f>
        <v>1989</v>
      </c>
      <c r="B19" s="8">
        <f>LOOKUP(9.99E+307,Triangle_Data!B7:K7)</f>
        <v>199997</v>
      </c>
      <c r="C19" s="13">
        <f>COUNT(Triangle_Data!B7:K7)</f>
        <v>9</v>
      </c>
      <c r="D19" s="11">
        <f t="shared" si="2"/>
        <v>1.0257925152214991</v>
      </c>
      <c r="E19" s="8">
        <f t="shared" si="3"/>
        <v>205155.42566675413</v>
      </c>
      <c r="F19" s="8">
        <f t="shared" si="4"/>
        <v>5158.425666754134</v>
      </c>
    </row>
    <row r="20" spans="1:6">
      <c r="A20" s="7">
        <f>Triangle_Data!A8</f>
        <v>1990</v>
      </c>
      <c r="B20" s="8">
        <f>LOOKUP(9.99E+307,Triangle_Data!B8:K8)</f>
        <v>224078</v>
      </c>
      <c r="C20" s="13">
        <f>COUNT(Triangle_Data!B8:K8)</f>
        <v>8</v>
      </c>
      <c r="D20" s="11">
        <f t="shared" si="2"/>
        <v>1.0330539999452106</v>
      </c>
      <c r="E20" s="8">
        <f t="shared" si="3"/>
        <v>231484.67419972291</v>
      </c>
      <c r="F20" s="8">
        <f t="shared" si="4"/>
        <v>7406.674199722911</v>
      </c>
    </row>
    <row r="21" spans="1:6">
      <c r="A21" s="7">
        <f>Triangle_Data!A9</f>
        <v>1991</v>
      </c>
      <c r="B21" s="8">
        <f>LOOKUP(9.99E+307,Triangle_Data!B9:K9)</f>
        <v>204911</v>
      </c>
      <c r="C21" s="13">
        <f>COUNT(Triangle_Data!B9:K9)</f>
        <v>7</v>
      </c>
      <c r="D21" s="11">
        <f t="shared" si="2"/>
        <v>1.0419897195801491</v>
      </c>
      <c r="E21" s="8">
        <f t="shared" si="3"/>
        <v>213515.15542888793</v>
      </c>
      <c r="F21" s="8">
        <f t="shared" si="4"/>
        <v>8604.155428887927</v>
      </c>
    </row>
    <row r="22" spans="1:6">
      <c r="A22" s="7">
        <f>Triangle_Data!A10</f>
        <v>1992</v>
      </c>
      <c r="B22" s="8">
        <f>LOOKUP(9.99E+307,Triangle_Data!B10:K10)</f>
        <v>208008</v>
      </c>
      <c r="C22" s="13">
        <f>COUNT(Triangle_Data!B10:K10)</f>
        <v>6</v>
      </c>
      <c r="D22" s="11">
        <f t="shared" si="2"/>
        <v>1.0586738180166704</v>
      </c>
      <c r="E22" s="8">
        <f t="shared" si="3"/>
        <v>220212.62353801157</v>
      </c>
      <c r="F22" s="8">
        <f t="shared" si="4"/>
        <v>12204.623538011569</v>
      </c>
    </row>
    <row r="23" spans="1:6">
      <c r="A23" s="7">
        <f>Triangle_Data!A11</f>
        <v>1993</v>
      </c>
      <c r="B23" s="8">
        <f>LOOKUP(9.99E+307,Triangle_Data!B11:K11)</f>
        <v>219345</v>
      </c>
      <c r="C23" s="13">
        <f>COUNT(Triangle_Data!B11:K11)</f>
        <v>5</v>
      </c>
      <c r="D23" s="11">
        <f t="shared" si="2"/>
        <v>1.0984171698579692</v>
      </c>
      <c r="E23" s="8">
        <f t="shared" si="3"/>
        <v>240932.31412249626</v>
      </c>
      <c r="F23" s="8">
        <f t="shared" si="4"/>
        <v>21587.31412249626</v>
      </c>
    </row>
    <row r="24" spans="1:6">
      <c r="A24" s="7">
        <f>Triangle_Data!A12</f>
        <v>1994</v>
      </c>
      <c r="B24" s="8">
        <f>LOOKUP(9.99E+307,Triangle_Data!B12:K12)</f>
        <v>212446</v>
      </c>
      <c r="C24" s="13">
        <f>COUNT(Triangle_Data!B12:K12)</f>
        <v>4</v>
      </c>
      <c r="D24" s="11">
        <f t="shared" si="2"/>
        <v>1.1708615539300591</v>
      </c>
      <c r="E24" s="8">
        <f t="shared" si="3"/>
        <v>248744.85368622534</v>
      </c>
      <c r="F24" s="8">
        <f t="shared" si="4"/>
        <v>36298.853686225339</v>
      </c>
    </row>
    <row r="25" spans="1:6">
      <c r="A25" s="7">
        <f>Triangle_Data!A13</f>
        <v>1995</v>
      </c>
      <c r="B25" s="8">
        <f>LOOKUP(9.99E+307,Triangle_Data!B13:K13)</f>
        <v>190974</v>
      </c>
      <c r="C25" s="13">
        <f>COUNT(Triangle_Data!B13:K13)</f>
        <v>3</v>
      </c>
      <c r="D25" s="11">
        <f t="shared" si="2"/>
        <v>1.3342257197600147</v>
      </c>
      <c r="E25" s="8">
        <f t="shared" si="3"/>
        <v>254802.42260544904</v>
      </c>
      <c r="F25" s="8">
        <f t="shared" si="4"/>
        <v>63828.422605449043</v>
      </c>
    </row>
    <row r="26" spans="1:6">
      <c r="A26" s="7">
        <f>Triangle_Data!A14</f>
        <v>1996</v>
      </c>
      <c r="B26" s="8">
        <f>LOOKUP(9.99E+307,Triangle_Data!B14:K14)</f>
        <v>143590</v>
      </c>
      <c r="C26" s="13">
        <f>COUNT(Triangle_Data!B14:K14)</f>
        <v>2</v>
      </c>
      <c r="D26" s="11">
        <f t="shared" si="2"/>
        <v>1.7136163603596588</v>
      </c>
      <c r="E26" s="8">
        <f t="shared" si="3"/>
        <v>246058.17318404341</v>
      </c>
      <c r="F26" s="8">
        <f t="shared" si="4"/>
        <v>102468.17318404341</v>
      </c>
    </row>
    <row r="27" spans="1:6">
      <c r="A27" s="7">
        <f>Triangle_Data!A15</f>
        <v>1997</v>
      </c>
      <c r="B27" s="8">
        <f>LOOKUP(9.99E+307,Triangle_Data!B15:K15)</f>
        <v>75827</v>
      </c>
      <c r="C27" s="13">
        <f>COUNT(Triangle_Data!B15:K15)</f>
        <v>1</v>
      </c>
      <c r="D27" s="11">
        <f t="shared" si="2"/>
        <v>3.2910491086052329</v>
      </c>
      <c r="E27" s="8">
        <f t="shared" si="3"/>
        <v>249550.38075820901</v>
      </c>
      <c r="F27" s="8">
        <f t="shared" si="4"/>
        <v>173723.38075820901</v>
      </c>
    </row>
    <row r="28" spans="1:6">
      <c r="A28" s="14" t="s">
        <v>77</v>
      </c>
      <c r="B28" s="15">
        <f>SUM(B18:B27)</f>
        <v>1872675</v>
      </c>
      <c r="C28" s="16"/>
      <c r="D28" s="16"/>
      <c r="E28" s="15">
        <f>SUM(E18:E27)</f>
        <v>2305890.0131897996</v>
      </c>
      <c r="F28" s="15">
        <f>SUM(F18:F27)</f>
        <v>433215.01318979962</v>
      </c>
    </row>
  </sheetData>
  <phoneticPr fontId="8" type="noConversion"/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opLeftCell="A12" workbookViewId="0">
      <selection activeCell="I7" sqref="I7"/>
    </sheetView>
  </sheetViews>
  <sheetFormatPr defaultRowHeight="14.4"/>
  <cols>
    <col min="1" max="1" width="29.77734375" customWidth="1"/>
    <col min="2" max="2" width="15.6640625" bestFit="1" customWidth="1"/>
    <col min="3" max="3" width="11.109375" bestFit="1" customWidth="1"/>
    <col min="4" max="4" width="25" bestFit="1" customWidth="1"/>
    <col min="5" max="5" width="14.77734375" bestFit="1" customWidth="1"/>
    <col min="6" max="6" width="22.33203125" bestFit="1" customWidth="1"/>
    <col min="7" max="7" width="25.6640625" bestFit="1" customWidth="1"/>
    <col min="8" max="8" width="12.6640625" bestFit="1" customWidth="1"/>
    <col min="9" max="9" width="15.33203125" bestFit="1" customWidth="1"/>
    <col min="10" max="10" width="16.5546875" bestFit="1" customWidth="1"/>
  </cols>
  <sheetData>
    <row r="1" spans="1:10" ht="21">
      <c r="A1" s="1" t="s">
        <v>78</v>
      </c>
    </row>
    <row r="2" spans="1:10">
      <c r="A2" s="2" t="s">
        <v>79</v>
      </c>
    </row>
    <row r="4" spans="1:10">
      <c r="A4" s="9" t="s">
        <v>80</v>
      </c>
      <c r="B4" s="17">
        <v>0.65</v>
      </c>
    </row>
    <row r="6" spans="1:10" ht="43.95" customHeight="1">
      <c r="A6" s="6" t="s">
        <v>81</v>
      </c>
      <c r="B6" s="6" t="s">
        <v>82</v>
      </c>
      <c r="C6" s="6" t="s">
        <v>83</v>
      </c>
      <c r="D6" s="6" t="s">
        <v>84</v>
      </c>
      <c r="E6" s="6" t="s">
        <v>74</v>
      </c>
      <c r="F6" s="6" t="s">
        <v>85</v>
      </c>
      <c r="G6" s="6" t="s">
        <v>86</v>
      </c>
      <c r="H6" s="6" t="s">
        <v>87</v>
      </c>
      <c r="I6" s="6" t="s">
        <v>88</v>
      </c>
      <c r="J6" s="6" t="s">
        <v>89</v>
      </c>
    </row>
    <row r="7" spans="1:10">
      <c r="A7" s="7">
        <f>Triangle_Data!A34</f>
        <v>1988</v>
      </c>
      <c r="B7" s="8">
        <f>Triangle_Data!B34</f>
        <v>286378</v>
      </c>
      <c r="C7" s="18">
        <f t="shared" ref="C7:C16" si="0">$B$4</f>
        <v>0.65</v>
      </c>
      <c r="D7" s="8">
        <f t="shared" ref="D7:D16" si="1">B7*C7</f>
        <v>186145.7</v>
      </c>
      <c r="E7" s="11">
        <f>Chain_Ladder!D18</f>
        <v>1.01</v>
      </c>
      <c r="F7" s="18">
        <f t="shared" ref="F7:F16" si="2">1-1/E7</f>
        <v>9.9009900990099098E-3</v>
      </c>
      <c r="G7" s="8">
        <f t="shared" ref="G7:G16" si="3">D7*F7</f>
        <v>1843.0267326732692</v>
      </c>
      <c r="H7" s="8">
        <f>Chain_Ladder!B18</f>
        <v>193499</v>
      </c>
      <c r="I7" s="8">
        <f t="shared" ref="I7:I16" si="4">H7+G7</f>
        <v>195342.02673267326</v>
      </c>
      <c r="J7" s="8">
        <f t="shared" ref="J7:J16" si="5">I7-H7</f>
        <v>1843.0267326732574</v>
      </c>
    </row>
    <row r="8" spans="1:10">
      <c r="A8" s="7">
        <f>Triangle_Data!A35</f>
        <v>1989</v>
      </c>
      <c r="B8" s="8">
        <f>Triangle_Data!B35</f>
        <v>308908</v>
      </c>
      <c r="C8" s="18">
        <f t="shared" si="0"/>
        <v>0.65</v>
      </c>
      <c r="D8" s="8">
        <f t="shared" si="1"/>
        <v>200790.2</v>
      </c>
      <c r="E8" s="11">
        <f>Chain_Ladder!D19</f>
        <v>1.0257925152214991</v>
      </c>
      <c r="F8" s="18">
        <f t="shared" si="2"/>
        <v>2.5143988514996773E-2</v>
      </c>
      <c r="G8" s="8">
        <f t="shared" si="3"/>
        <v>5048.6664827239056</v>
      </c>
      <c r="H8" s="8">
        <f>Chain_Ladder!B19</f>
        <v>199997</v>
      </c>
      <c r="I8" s="8">
        <f t="shared" si="4"/>
        <v>205045.6664827239</v>
      </c>
      <c r="J8" s="8">
        <f t="shared" si="5"/>
        <v>5048.6664827239001</v>
      </c>
    </row>
    <row r="9" spans="1:10">
      <c r="A9" s="7">
        <f>Triangle_Data!A36</f>
        <v>1990</v>
      </c>
      <c r="B9" s="8">
        <f>Triangle_Data!B36</f>
        <v>326503</v>
      </c>
      <c r="C9" s="18">
        <f t="shared" si="0"/>
        <v>0.65</v>
      </c>
      <c r="D9" s="8">
        <f t="shared" si="1"/>
        <v>212226.95</v>
      </c>
      <c r="E9" s="11">
        <f>Chain_Ladder!D20</f>
        <v>1.0330539999452106</v>
      </c>
      <c r="F9" s="18">
        <f t="shared" si="2"/>
        <v>3.1996391231207344E-2</v>
      </c>
      <c r="G9" s="8">
        <f t="shared" si="3"/>
        <v>6790.4965220058803</v>
      </c>
      <c r="H9" s="8">
        <f>Chain_Ladder!B20</f>
        <v>224078</v>
      </c>
      <c r="I9" s="8">
        <f t="shared" si="4"/>
        <v>230868.49652200588</v>
      </c>
      <c r="J9" s="8">
        <f t="shared" si="5"/>
        <v>6790.4965220058803</v>
      </c>
    </row>
    <row r="10" spans="1:10">
      <c r="A10" s="7">
        <f>Triangle_Data!A37</f>
        <v>1991</v>
      </c>
      <c r="B10" s="8">
        <f>Triangle_Data!B37</f>
        <v>332616</v>
      </c>
      <c r="C10" s="18">
        <f t="shared" si="0"/>
        <v>0.65</v>
      </c>
      <c r="D10" s="8">
        <f t="shared" si="1"/>
        <v>216200.4</v>
      </c>
      <c r="E10" s="11">
        <f>Chain_Ladder!D21</f>
        <v>1.0419897195801491</v>
      </c>
      <c r="F10" s="18">
        <f t="shared" si="2"/>
        <v>4.0297633259825272E-2</v>
      </c>
      <c r="G10" s="8">
        <f t="shared" si="3"/>
        <v>8712.3644298275267</v>
      </c>
      <c r="H10" s="8">
        <f>Chain_Ladder!B21</f>
        <v>204911</v>
      </c>
      <c r="I10" s="8">
        <f t="shared" si="4"/>
        <v>213623.36442982752</v>
      </c>
      <c r="J10" s="8">
        <f t="shared" si="5"/>
        <v>8712.3644298275176</v>
      </c>
    </row>
    <row r="11" spans="1:10">
      <c r="A11" s="7">
        <f>Triangle_Data!A38</f>
        <v>1992</v>
      </c>
      <c r="B11" s="8">
        <f>Triangle_Data!B38</f>
        <v>341890</v>
      </c>
      <c r="C11" s="18">
        <f t="shared" si="0"/>
        <v>0.65</v>
      </c>
      <c r="D11" s="8">
        <f t="shared" si="1"/>
        <v>222228.5</v>
      </c>
      <c r="E11" s="11">
        <f>Chain_Ladder!D22</f>
        <v>1.0586738180166704</v>
      </c>
      <c r="F11" s="18">
        <f t="shared" si="2"/>
        <v>5.5421997803431489E-2</v>
      </c>
      <c r="G11" s="8">
        <f t="shared" si="3"/>
        <v>12316.347438859875</v>
      </c>
      <c r="H11" s="8">
        <f>Chain_Ladder!B22</f>
        <v>208008</v>
      </c>
      <c r="I11" s="8">
        <f t="shared" si="4"/>
        <v>220324.34743885987</v>
      </c>
      <c r="J11" s="8">
        <f t="shared" si="5"/>
        <v>12316.34743885987</v>
      </c>
    </row>
    <row r="12" spans="1:10">
      <c r="A12" s="7">
        <f>Triangle_Data!A39</f>
        <v>1993</v>
      </c>
      <c r="B12" s="8">
        <f>Triangle_Data!B39</f>
        <v>355840</v>
      </c>
      <c r="C12" s="18">
        <f t="shared" si="0"/>
        <v>0.65</v>
      </c>
      <c r="D12" s="8">
        <f t="shared" si="1"/>
        <v>231296</v>
      </c>
      <c r="E12" s="11">
        <f>Chain_Ladder!D23</f>
        <v>1.0984171698579692</v>
      </c>
      <c r="F12" s="18">
        <f t="shared" si="2"/>
        <v>8.9599081804862091E-2</v>
      </c>
      <c r="G12" s="8">
        <f t="shared" si="3"/>
        <v>20723.90922513738</v>
      </c>
      <c r="H12" s="8">
        <f>Chain_Ladder!B23</f>
        <v>219345</v>
      </c>
      <c r="I12" s="8">
        <f t="shared" si="4"/>
        <v>240068.90922513738</v>
      </c>
      <c r="J12" s="8">
        <f t="shared" si="5"/>
        <v>20723.90922513738</v>
      </c>
    </row>
    <row r="13" spans="1:10">
      <c r="A13" s="7">
        <f>Triangle_Data!A40</f>
        <v>1994</v>
      </c>
      <c r="B13" s="8">
        <f>Triangle_Data!B40</f>
        <v>379781</v>
      </c>
      <c r="C13" s="18">
        <f t="shared" si="0"/>
        <v>0.65</v>
      </c>
      <c r="D13" s="8">
        <f t="shared" si="1"/>
        <v>246857.65</v>
      </c>
      <c r="E13" s="11">
        <f>Chain_Ladder!D24</f>
        <v>1.1708615539300591</v>
      </c>
      <c r="F13" s="18">
        <f t="shared" si="2"/>
        <v>0.14592805900625327</v>
      </c>
      <c r="G13" s="8">
        <f t="shared" si="3"/>
        <v>36023.457715345015</v>
      </c>
      <c r="H13" s="8">
        <f>Chain_Ladder!B24</f>
        <v>212446</v>
      </c>
      <c r="I13" s="8">
        <f t="shared" si="4"/>
        <v>248469.45771534502</v>
      </c>
      <c r="J13" s="8">
        <f t="shared" si="5"/>
        <v>36023.457715345023</v>
      </c>
    </row>
    <row r="14" spans="1:10">
      <c r="A14" s="7">
        <f>Triangle_Data!A41</f>
        <v>1995</v>
      </c>
      <c r="B14" s="8">
        <f>Triangle_Data!B41</f>
        <v>398755</v>
      </c>
      <c r="C14" s="18">
        <f t="shared" si="0"/>
        <v>0.65</v>
      </c>
      <c r="D14" s="8">
        <f t="shared" si="1"/>
        <v>259190.75</v>
      </c>
      <c r="E14" s="11">
        <f>Chain_Ladder!D25</f>
        <v>1.3342257197600147</v>
      </c>
      <c r="F14" s="18">
        <f t="shared" si="2"/>
        <v>0.25050163162806616</v>
      </c>
      <c r="G14" s="8">
        <f t="shared" si="3"/>
        <v>64927.705777902185</v>
      </c>
      <c r="H14" s="8">
        <f>Chain_Ladder!B25</f>
        <v>190974</v>
      </c>
      <c r="I14" s="8">
        <f t="shared" si="4"/>
        <v>255901.70577790219</v>
      </c>
      <c r="J14" s="8">
        <f t="shared" si="5"/>
        <v>64927.705777902185</v>
      </c>
    </row>
    <row r="15" spans="1:10">
      <c r="A15" s="7">
        <f>Triangle_Data!A42</f>
        <v>1996</v>
      </c>
      <c r="B15" s="8">
        <f>Triangle_Data!B42</f>
        <v>406609</v>
      </c>
      <c r="C15" s="18">
        <f t="shared" si="0"/>
        <v>0.65</v>
      </c>
      <c r="D15" s="8">
        <f t="shared" si="1"/>
        <v>264295.85000000003</v>
      </c>
      <c r="E15" s="11">
        <f>Chain_Ladder!D26</f>
        <v>1.7136163603596588</v>
      </c>
      <c r="F15" s="18">
        <f t="shared" si="2"/>
        <v>0.4164388114326143</v>
      </c>
      <c r="G15" s="8">
        <f t="shared" si="3"/>
        <v>110063.04964057253</v>
      </c>
      <c r="H15" s="8">
        <f>Chain_Ladder!B26</f>
        <v>143590</v>
      </c>
      <c r="I15" s="8">
        <f t="shared" si="4"/>
        <v>253653.04964057251</v>
      </c>
      <c r="J15" s="8">
        <f t="shared" si="5"/>
        <v>110063.04964057251</v>
      </c>
    </row>
    <row r="16" spans="1:10">
      <c r="A16" s="7">
        <f>Triangle_Data!A43</f>
        <v>1997</v>
      </c>
      <c r="B16" s="8">
        <f>Triangle_Data!B43</f>
        <v>406516</v>
      </c>
      <c r="C16" s="18">
        <f t="shared" si="0"/>
        <v>0.65</v>
      </c>
      <c r="D16" s="8">
        <f t="shared" si="1"/>
        <v>264235.40000000002</v>
      </c>
      <c r="E16" s="11">
        <f>Chain_Ladder!D27</f>
        <v>3.2910491086052329</v>
      </c>
      <c r="F16" s="18">
        <f t="shared" si="2"/>
        <v>0.69614552472484792</v>
      </c>
      <c r="G16" s="8">
        <f t="shared" si="3"/>
        <v>183946.29118388009</v>
      </c>
      <c r="H16" s="8">
        <f>Chain_Ladder!B27</f>
        <v>75827</v>
      </c>
      <c r="I16" s="8">
        <f t="shared" si="4"/>
        <v>259773.29118388009</v>
      </c>
      <c r="J16" s="8">
        <f t="shared" si="5"/>
        <v>183946.29118388009</v>
      </c>
    </row>
    <row r="17" spans="1:10">
      <c r="A17" s="14" t="s">
        <v>77</v>
      </c>
      <c r="B17" s="15">
        <f>SUM(B7:B16)</f>
        <v>3543796</v>
      </c>
      <c r="C17" s="16"/>
      <c r="D17" s="15">
        <f>SUM(D7:D16)</f>
        <v>2303467.4</v>
      </c>
      <c r="E17" s="16"/>
      <c r="F17" s="16"/>
      <c r="G17" s="15">
        <f>SUM(G7:G16)</f>
        <v>450395.31514892762</v>
      </c>
      <c r="H17" s="15">
        <f>SUM(H7:H16)</f>
        <v>1872675</v>
      </c>
      <c r="I17" s="15">
        <f>SUM(I7:I16)</f>
        <v>2323070.3151489277</v>
      </c>
      <c r="J17" s="15">
        <f>SUM(J7:J16)</f>
        <v>450395.31514892762</v>
      </c>
    </row>
    <row r="19" spans="1:10">
      <c r="A19" s="2" t="s">
        <v>90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showGridLines="0" tabSelected="1" workbookViewId="0">
      <selection activeCell="K37" sqref="K37"/>
    </sheetView>
  </sheetViews>
  <sheetFormatPr defaultRowHeight="14.4"/>
  <cols>
    <col min="1" max="1" width="13.21875" customWidth="1"/>
    <col min="2" max="2" width="12.6640625" bestFit="1" customWidth="1"/>
    <col min="3" max="3" width="20" bestFit="1" customWidth="1"/>
    <col min="4" max="4" width="10.5546875" bestFit="1" customWidth="1"/>
    <col min="5" max="5" width="15.5546875" bestFit="1" customWidth="1"/>
    <col min="6" max="7" width="20.21875" bestFit="1" customWidth="1"/>
  </cols>
  <sheetData>
    <row r="1" spans="1:7" ht="21">
      <c r="A1" s="1" t="s">
        <v>91</v>
      </c>
    </row>
    <row r="2" spans="1:7">
      <c r="A2" s="2" t="s">
        <v>92</v>
      </c>
    </row>
    <row r="4" spans="1:7" ht="30" customHeight="1">
      <c r="A4" s="6" t="s">
        <v>81</v>
      </c>
      <c r="B4" s="6" t="s">
        <v>87</v>
      </c>
      <c r="C4" s="6" t="s">
        <v>93</v>
      </c>
      <c r="D4" s="6" t="s">
        <v>94</v>
      </c>
      <c r="E4" s="6" t="s">
        <v>95</v>
      </c>
      <c r="F4" s="6" t="s">
        <v>96</v>
      </c>
      <c r="G4" s="6" t="s">
        <v>97</v>
      </c>
    </row>
    <row r="5" spans="1:7">
      <c r="A5" s="7">
        <f>Chain_Ladder!A18</f>
        <v>1988</v>
      </c>
      <c r="B5" s="8">
        <f>Chain_Ladder!B18</f>
        <v>193499</v>
      </c>
      <c r="C5" s="8">
        <f>Chain_Ladder!F18</f>
        <v>1934.9899999999907</v>
      </c>
      <c r="D5" s="8">
        <f>Bornhuetter_Ferguson!J7</f>
        <v>1843.0267326732574</v>
      </c>
      <c r="E5" s="8">
        <f t="shared" ref="E5:E14" si="0">C5-D5</f>
        <v>91.96326732673333</v>
      </c>
      <c r="F5" s="18">
        <f>Chain_Ladder!E18/Bornhuetter_Ferguson!B7</f>
        <v>0.6824336715809175</v>
      </c>
      <c r="G5" s="18">
        <f>Bornhuetter_Ferguson!I7/Bornhuetter_Ferguson!B7</f>
        <v>0.68211254611972028</v>
      </c>
    </row>
    <row r="6" spans="1:7">
      <c r="A6" s="7">
        <f>Chain_Ladder!A19</f>
        <v>1989</v>
      </c>
      <c r="B6" s="8">
        <f>Chain_Ladder!B19</f>
        <v>199997</v>
      </c>
      <c r="C6" s="8">
        <f>Chain_Ladder!F19</f>
        <v>5158.425666754134</v>
      </c>
      <c r="D6" s="8">
        <f>Bornhuetter_Ferguson!J8</f>
        <v>5048.6664827239001</v>
      </c>
      <c r="E6" s="8">
        <f t="shared" si="0"/>
        <v>109.75918403023388</v>
      </c>
      <c r="F6" s="18">
        <f>Chain_Ladder!E19/Bornhuetter_Ferguson!B8</f>
        <v>0.66413115123840794</v>
      </c>
      <c r="G6" s="18">
        <f>Bornhuetter_Ferguson!I8/Bornhuetter_Ferguson!B8</f>
        <v>0.66377583773396576</v>
      </c>
    </row>
    <row r="7" spans="1:7">
      <c r="A7" s="7">
        <f>Chain_Ladder!A20</f>
        <v>1990</v>
      </c>
      <c r="B7" s="8">
        <f>Chain_Ladder!B20</f>
        <v>224078</v>
      </c>
      <c r="C7" s="8">
        <f>Chain_Ladder!F20</f>
        <v>7406.674199722911</v>
      </c>
      <c r="D7" s="8">
        <f>Bornhuetter_Ferguson!J9</f>
        <v>6790.4965220058803</v>
      </c>
      <c r="E7" s="8">
        <f t="shared" si="0"/>
        <v>616.17767771703075</v>
      </c>
      <c r="F7" s="18">
        <f>Chain_Ladder!E20/Bornhuetter_Ferguson!B9</f>
        <v>0.70898176800740853</v>
      </c>
      <c r="G7" s="18">
        <f>Bornhuetter_Ferguson!I9/Bornhuetter_Ferguson!B9</f>
        <v>0.70709456428273521</v>
      </c>
    </row>
    <row r="8" spans="1:7">
      <c r="A8" s="7">
        <f>Chain_Ladder!A21</f>
        <v>1991</v>
      </c>
      <c r="B8" s="8">
        <f>Chain_Ladder!B21</f>
        <v>204911</v>
      </c>
      <c r="C8" s="8">
        <f>Chain_Ladder!F21</f>
        <v>8604.155428887927</v>
      </c>
      <c r="D8" s="8">
        <f>Bornhuetter_Ferguson!J10</f>
        <v>8712.3644298275176</v>
      </c>
      <c r="E8" s="8">
        <f t="shared" si="0"/>
        <v>-108.20900093959062</v>
      </c>
      <c r="F8" s="18">
        <f>Chain_Ladder!E21/Bornhuetter_Ferguson!B10</f>
        <v>0.64192689296031435</v>
      </c>
      <c r="G8" s="18">
        <f>Bornhuetter_Ferguson!I10/Bornhuetter_Ferguson!B10</f>
        <v>0.64225222006706684</v>
      </c>
    </row>
    <row r="9" spans="1:7">
      <c r="A9" s="7">
        <f>Chain_Ladder!A22</f>
        <v>1992</v>
      </c>
      <c r="B9" s="8">
        <f>Chain_Ladder!B22</f>
        <v>208008</v>
      </c>
      <c r="C9" s="8">
        <f>Chain_Ladder!F22</f>
        <v>12204.623538011569</v>
      </c>
      <c r="D9" s="8">
        <f>Bornhuetter_Ferguson!J11</f>
        <v>12316.34743885987</v>
      </c>
      <c r="E9" s="8">
        <f t="shared" si="0"/>
        <v>-111.72390084830113</v>
      </c>
      <c r="F9" s="18">
        <f>Chain_Ladder!E22/Bornhuetter_Ferguson!B11</f>
        <v>0.64410372791837012</v>
      </c>
      <c r="G9" s="18">
        <f>Bornhuetter_Ferguson!I11/Bornhuetter_Ferguson!B11</f>
        <v>0.64443051109672667</v>
      </c>
    </row>
    <row r="10" spans="1:7">
      <c r="A10" s="7">
        <f>Chain_Ladder!A23</f>
        <v>1993</v>
      </c>
      <c r="B10" s="8">
        <f>Chain_Ladder!B23</f>
        <v>219345</v>
      </c>
      <c r="C10" s="8">
        <f>Chain_Ladder!F23</f>
        <v>21587.31412249626</v>
      </c>
      <c r="D10" s="8">
        <f>Bornhuetter_Ferguson!J12</f>
        <v>20723.90922513738</v>
      </c>
      <c r="E10" s="8">
        <f t="shared" si="0"/>
        <v>863.40489735887968</v>
      </c>
      <c r="F10" s="18">
        <f>Chain_Ladder!E23/Bornhuetter_Ferguson!B12</f>
        <v>0.67708046909424535</v>
      </c>
      <c r="G10" s="18">
        <f>Bornhuetter_Ferguson!I12/Bornhuetter_Ferguson!B12</f>
        <v>0.67465408392855608</v>
      </c>
    </row>
    <row r="11" spans="1:7">
      <c r="A11" s="7">
        <f>Chain_Ladder!A24</f>
        <v>1994</v>
      </c>
      <c r="B11" s="8">
        <f>Chain_Ladder!B24</f>
        <v>212446</v>
      </c>
      <c r="C11" s="8">
        <f>Chain_Ladder!F24</f>
        <v>36298.853686225339</v>
      </c>
      <c r="D11" s="8">
        <f>Bornhuetter_Ferguson!J13</f>
        <v>36023.457715345023</v>
      </c>
      <c r="E11" s="8">
        <f t="shared" si="0"/>
        <v>275.39597088031587</v>
      </c>
      <c r="F11" s="18">
        <f>Chain_Ladder!E24/Bornhuetter_Ferguson!B13</f>
        <v>0.65496918931232828</v>
      </c>
      <c r="G11" s="18">
        <f>Bornhuetter_Ferguson!I13/Bornhuetter_Ferguson!B13</f>
        <v>0.65424404516114554</v>
      </c>
    </row>
    <row r="12" spans="1:7">
      <c r="A12" s="7">
        <f>Chain_Ladder!A25</f>
        <v>1995</v>
      </c>
      <c r="B12" s="8">
        <f>Chain_Ladder!B25</f>
        <v>190974</v>
      </c>
      <c r="C12" s="8">
        <f>Chain_Ladder!F25</f>
        <v>63828.422605449043</v>
      </c>
      <c r="D12" s="8">
        <f>Bornhuetter_Ferguson!J14</f>
        <v>64927.705777902185</v>
      </c>
      <c r="E12" s="8">
        <f t="shared" si="0"/>
        <v>-1099.2831724531425</v>
      </c>
      <c r="F12" s="18">
        <f>Chain_Ladder!E25/Bornhuetter_Ferguson!B14</f>
        <v>0.63899492822773141</v>
      </c>
      <c r="G12" s="18">
        <f>Bornhuetter_Ferguson!I14/Bornhuetter_Ferguson!B14</f>
        <v>0.64175171666286868</v>
      </c>
    </row>
    <row r="13" spans="1:7">
      <c r="A13" s="7">
        <f>Chain_Ladder!A26</f>
        <v>1996</v>
      </c>
      <c r="B13" s="8">
        <f>Chain_Ladder!B26</f>
        <v>143590</v>
      </c>
      <c r="C13" s="8">
        <f>Chain_Ladder!F26</f>
        <v>102468.17318404341</v>
      </c>
      <c r="D13" s="8">
        <f>Bornhuetter_Ferguson!J15</f>
        <v>110063.04964057251</v>
      </c>
      <c r="E13" s="8">
        <f t="shared" si="0"/>
        <v>-7594.8764565291058</v>
      </c>
      <c r="F13" s="18">
        <f>Chain_Ladder!E26/Bornhuetter_Ferguson!B15</f>
        <v>0.605146893413681</v>
      </c>
      <c r="G13" s="18">
        <f>Bornhuetter_Ferguson!I15/Bornhuetter_Ferguson!B15</f>
        <v>0.62382546780954806</v>
      </c>
    </row>
    <row r="14" spans="1:7">
      <c r="A14" s="7">
        <f>Chain_Ladder!A27</f>
        <v>1997</v>
      </c>
      <c r="B14" s="8">
        <f>Chain_Ladder!B27</f>
        <v>75827</v>
      </c>
      <c r="C14" s="8">
        <f>Chain_Ladder!F27</f>
        <v>173723.38075820901</v>
      </c>
      <c r="D14" s="8">
        <f>Bornhuetter_Ferguson!J16</f>
        <v>183946.29118388009</v>
      </c>
      <c r="E14" s="8">
        <f t="shared" si="0"/>
        <v>-10222.910425671085</v>
      </c>
      <c r="F14" s="18">
        <f>Chain_Ladder!E27/Bornhuetter_Ferguson!B16</f>
        <v>0.61387591326838065</v>
      </c>
      <c r="G14" s="18">
        <f>Bornhuetter_Ferguson!I16/Bornhuetter_Ferguson!B16</f>
        <v>0.63902353458136973</v>
      </c>
    </row>
    <row r="15" spans="1:7">
      <c r="A15" s="14" t="s">
        <v>77</v>
      </c>
      <c r="B15" s="15">
        <f>SUM(B5:B14)</f>
        <v>1872675</v>
      </c>
      <c r="C15" s="15">
        <f>SUM(C5:C14)</f>
        <v>433215.01318979962</v>
      </c>
      <c r="D15" s="15">
        <f>SUM(D5:D14)</f>
        <v>450395.31514892762</v>
      </c>
      <c r="E15" s="15">
        <f>SUM(E5:E14)</f>
        <v>-17180.301959128032</v>
      </c>
      <c r="F15" s="16"/>
      <c r="G15" s="16"/>
    </row>
    <row r="17" spans="1:7">
      <c r="A17" s="23" t="s">
        <v>98</v>
      </c>
      <c r="B17" s="23"/>
      <c r="C17" s="23"/>
      <c r="D17" s="19">
        <f>Triangle_Data!$B$47</f>
        <v>360657</v>
      </c>
    </row>
    <row r="18" spans="1:7">
      <c r="A18" s="23" t="s">
        <v>99</v>
      </c>
      <c r="B18" s="23"/>
      <c r="C18" s="23"/>
      <c r="D18" s="20">
        <f>C15-D17</f>
        <v>72558.013189799618</v>
      </c>
    </row>
    <row r="19" spans="1:7">
      <c r="A19" s="23" t="s">
        <v>100</v>
      </c>
      <c r="B19" s="23"/>
      <c r="C19" s="23"/>
      <c r="D19" s="20">
        <f>D15-D17</f>
        <v>89738.315148927621</v>
      </c>
    </row>
    <row r="21" spans="1:7" ht="30" customHeight="1">
      <c r="A21" s="21" t="s">
        <v>101</v>
      </c>
      <c r="B21" s="22"/>
      <c r="C21" s="22"/>
      <c r="D21" s="22"/>
      <c r="E21" s="22"/>
      <c r="F21" s="22"/>
      <c r="G21" s="22"/>
    </row>
  </sheetData>
  <mergeCells count="4">
    <mergeCell ref="A21:G21"/>
    <mergeCell ref="A17:C17"/>
    <mergeCell ref="A18:C18"/>
    <mergeCell ref="A19:C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Triangle_Data</vt:lpstr>
      <vt:lpstr>Chain_Ladder</vt:lpstr>
      <vt:lpstr>Bornhuetter_Ferguson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Atishya Jindal</cp:lastModifiedBy>
  <dcterms:created xsi:type="dcterms:W3CDTF">2026-09-06T07:53:30Z</dcterms:created>
  <dcterms:modified xsi:type="dcterms:W3CDTF">2026-09-08T06:38:05Z</dcterms:modified>
</cp:coreProperties>
</file>